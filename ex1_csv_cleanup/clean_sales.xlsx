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_Customer_Region" sheetId="2" state="visible" r:id="rId2"/>
    <sheet xmlns:r="http://schemas.openxmlformats.org/officeDocument/2006/relationships" name="Change_Log" sheetId="3" state="visible" r:id="rId3"/>
  </sheets>
  <definedNames>
    <definedName name="_xlnm._FilterDatabase" localSheetId="0" hidden="1">'Data'!$A$1:$H$61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6" customWidth="1" min="6" max="6"/>
    <col width="12" customWidth="1" min="7" max="7"/>
    <col width="12" customWidth="1" min="8" max="8"/>
  </cols>
  <sheetData>
    <row r="1">
      <c r="A1" s="2" t="inlineStr">
        <is>
          <t>invoice</t>
        </is>
      </c>
      <c r="B1" s="2" t="inlineStr">
        <is>
          <t>customer</t>
        </is>
      </c>
      <c r="C1" s="2" t="inlineStr">
        <is>
          <t>region</t>
        </is>
      </c>
      <c r="D1" s="2" t="inlineStr">
        <is>
          <t>date</t>
        </is>
      </c>
      <c r="E1" s="2" t="inlineStr">
        <is>
          <t>amount</t>
        </is>
      </c>
      <c r="F1" s="2" t="inlineStr">
        <is>
          <t>qty</t>
        </is>
      </c>
      <c r="G1" s="2" t="inlineStr">
        <is>
          <t>qty_missing</t>
        </is>
      </c>
      <c r="H1" s="2" t="inlineStr">
        <is>
          <t>line_total</t>
        </is>
      </c>
      <c r="I1" s="2" t="n"/>
      <c r="J1" s="2" t="inlineStr">
        <is>
          <t>Total revenue</t>
        </is>
      </c>
      <c r="K1" s="2">
        <f>SUM(H2:H61)</f>
        <v/>
      </c>
    </row>
    <row r="2">
      <c r="A2" t="inlineStr">
        <is>
          <t>INV-1013</t>
        </is>
      </c>
      <c r="B2" t="inlineStr">
        <is>
          <t>Nordic Tea</t>
        </is>
      </c>
      <c r="C2" t="inlineStr">
        <is>
          <t>North</t>
        </is>
      </c>
      <c r="D2" s="3" t="n">
        <v>46266</v>
      </c>
      <c r="E2" t="n">
        <v>149.53</v>
      </c>
      <c r="F2" t="n">
        <v>1</v>
      </c>
      <c r="G2" t="b">
        <v>0</v>
      </c>
      <c r="H2">
        <f>E2*F2</f>
        <v/>
      </c>
      <c r="J2" t="inlineStr">
        <is>
          <t>Avg invoice</t>
        </is>
      </c>
      <c r="K2">
        <f>AVERAGE(E2:E61)</f>
        <v/>
      </c>
    </row>
    <row r="3">
      <c r="A3" t="inlineStr">
        <is>
          <t>INV-1018</t>
        </is>
      </c>
      <c r="B3" t="inlineStr">
        <is>
          <t>Acme Corp</t>
        </is>
      </c>
      <c r="C3" t="inlineStr">
        <is>
          <t>South</t>
        </is>
      </c>
      <c r="D3" s="3" t="n">
        <v>46266</v>
      </c>
      <c r="E3" t="n">
        <v>53.48</v>
      </c>
      <c r="F3" t="n">
        <v>4</v>
      </c>
      <c r="G3" t="b">
        <v>0</v>
      </c>
      <c r="H3">
        <f>E3*F3</f>
        <v/>
      </c>
      <c r="J3" t="inlineStr">
        <is>
          <t>Acme revenue</t>
        </is>
      </c>
      <c r="K3">
        <f>SUMIF(B2:B61,"Acme Corp",H2:H61)</f>
        <v/>
      </c>
    </row>
    <row r="4">
      <c r="A4" t="inlineStr">
        <is>
          <t>INV-1020</t>
        </is>
      </c>
      <c r="B4" t="inlineStr">
        <is>
          <t>Delta Tools</t>
        </is>
      </c>
      <c r="C4" t="inlineStr">
        <is>
          <t>West</t>
        </is>
      </c>
      <c r="D4" s="3" t="n">
        <v>46266</v>
      </c>
      <c r="E4" t="n">
        <v>385</v>
      </c>
      <c r="F4" t="n">
        <v>4</v>
      </c>
      <c r="G4" t="b">
        <v>0</v>
      </c>
      <c r="H4">
        <f>E4*F4</f>
        <v/>
      </c>
    </row>
    <row r="5">
      <c r="A5" t="inlineStr">
        <is>
          <t>INV-1034</t>
        </is>
      </c>
      <c r="B5" t="inlineStr">
        <is>
          <t>Nordic Tea</t>
        </is>
      </c>
      <c r="C5" t="inlineStr">
        <is>
          <t>North</t>
        </is>
      </c>
      <c r="D5" s="3" t="n">
        <v>46266</v>
      </c>
      <c r="E5" t="n">
        <v>151.92</v>
      </c>
      <c r="F5" t="n">
        <v>4</v>
      </c>
      <c r="G5" t="b">
        <v>0</v>
      </c>
      <c r="H5">
        <f>E5*F5</f>
        <v/>
      </c>
    </row>
    <row r="6">
      <c r="A6" t="inlineStr">
        <is>
          <t>INV-1040</t>
        </is>
      </c>
      <c r="B6" t="inlineStr">
        <is>
          <t>Blue Fox LLC</t>
        </is>
      </c>
      <c r="C6" t="inlineStr">
        <is>
          <t>South</t>
        </is>
      </c>
      <c r="D6" s="3" t="n">
        <v>46266</v>
      </c>
      <c r="E6" t="n">
        <v>254.46</v>
      </c>
      <c r="F6" t="n">
        <v>1</v>
      </c>
      <c r="G6" t="b">
        <v>1</v>
      </c>
      <c r="H6">
        <f>E6*F6</f>
        <v/>
      </c>
    </row>
    <row r="7">
      <c r="A7" t="inlineStr">
        <is>
          <t>INV-1043</t>
        </is>
      </c>
      <c r="B7" t="inlineStr">
        <is>
          <t>Acme Corp</t>
        </is>
      </c>
      <c r="C7" t="inlineStr">
        <is>
          <t>North</t>
        </is>
      </c>
      <c r="D7" s="3" t="n">
        <v>46266</v>
      </c>
      <c r="E7" t="n">
        <v>196.49</v>
      </c>
      <c r="F7" t="n">
        <v>4</v>
      </c>
      <c r="G7" t="b">
        <v>0</v>
      </c>
      <c r="H7">
        <f>E7*F7</f>
        <v/>
      </c>
    </row>
    <row r="8">
      <c r="A8" t="inlineStr">
        <is>
          <t>INV-1054</t>
        </is>
      </c>
      <c r="B8" t="inlineStr">
        <is>
          <t>Delta Tools</t>
        </is>
      </c>
      <c r="C8" t="inlineStr">
        <is>
          <t>West</t>
        </is>
      </c>
      <c r="D8" s="3" t="n">
        <v>46266</v>
      </c>
      <c r="E8" t="n">
        <v>65.37</v>
      </c>
      <c r="F8" t="n">
        <v>3</v>
      </c>
      <c r="G8" t="b">
        <v>0</v>
      </c>
      <c r="H8">
        <f>E8*F8</f>
        <v/>
      </c>
    </row>
    <row r="9">
      <c r="A9" t="inlineStr">
        <is>
          <t>INV-1002</t>
        </is>
      </c>
      <c r="B9" t="inlineStr">
        <is>
          <t>Acme Corp</t>
        </is>
      </c>
      <c r="C9" t="inlineStr">
        <is>
          <t>West</t>
        </is>
      </c>
      <c r="D9" s="3" t="n">
        <v>46267</v>
      </c>
      <c r="E9" t="n">
        <v>752.8200000000001</v>
      </c>
      <c r="F9" t="n">
        <v>1</v>
      </c>
      <c r="G9" t="b">
        <v>0</v>
      </c>
      <c r="H9">
        <f>E9*F9</f>
        <v/>
      </c>
    </row>
    <row r="10">
      <c r="A10" t="inlineStr">
        <is>
          <t>INV-1009</t>
        </is>
      </c>
      <c r="B10" t="inlineStr">
        <is>
          <t>Delta Tools</t>
        </is>
      </c>
      <c r="C10" t="inlineStr">
        <is>
          <t>North</t>
        </is>
      </c>
      <c r="D10" s="3" t="n">
        <v>46267</v>
      </c>
      <c r="E10" t="n">
        <v>179.19</v>
      </c>
      <c r="F10" t="n">
        <v>4</v>
      </c>
      <c r="G10" t="b">
        <v>0</v>
      </c>
      <c r="H10">
        <f>E10*F10</f>
        <v/>
      </c>
    </row>
    <row r="11">
      <c r="A11" t="inlineStr">
        <is>
          <t>INV-1012</t>
        </is>
      </c>
      <c r="B11" t="inlineStr">
        <is>
          <t>Blue Fox LLC</t>
        </is>
      </c>
      <c r="C11" t="inlineStr">
        <is>
          <t>West</t>
        </is>
      </c>
      <c r="D11" s="3" t="n">
        <v>46267</v>
      </c>
      <c r="E11" t="n">
        <v>659.13</v>
      </c>
      <c r="F11" t="n">
        <v>3</v>
      </c>
      <c r="G11" t="b">
        <v>0</v>
      </c>
      <c r="H11">
        <f>E11*F11</f>
        <v/>
      </c>
    </row>
    <row r="12">
      <c r="A12" t="inlineStr">
        <is>
          <t>INV-1015</t>
        </is>
      </c>
      <c r="B12" t="inlineStr">
        <is>
          <t>Delta Tools</t>
        </is>
      </c>
      <c r="C12" t="inlineStr">
        <is>
          <t>West</t>
        </is>
      </c>
      <c r="D12" s="3" t="n">
        <v>46267</v>
      </c>
      <c r="E12" t="n">
        <v>286.16</v>
      </c>
      <c r="F12" t="n">
        <v>2</v>
      </c>
      <c r="G12" t="b">
        <v>0</v>
      </c>
      <c r="H12">
        <f>E12*F12</f>
        <v/>
      </c>
    </row>
    <row r="13">
      <c r="A13" t="inlineStr">
        <is>
          <t>INV-1023</t>
        </is>
      </c>
      <c r="B13" t="inlineStr">
        <is>
          <t>Acme Corp</t>
        </is>
      </c>
      <c r="C13" t="inlineStr">
        <is>
          <t>North</t>
        </is>
      </c>
      <c r="D13" s="3" t="n">
        <v>46267</v>
      </c>
      <c r="E13" t="n">
        <v>571.96</v>
      </c>
      <c r="F13" t="n">
        <v>2</v>
      </c>
      <c r="G13" t="b">
        <v>0</v>
      </c>
      <c r="H13">
        <f>E13*F13</f>
        <v/>
      </c>
    </row>
    <row r="14">
      <c r="A14" t="inlineStr">
        <is>
          <t>INV-1044</t>
        </is>
      </c>
      <c r="B14" t="inlineStr">
        <is>
          <t>Acme Corp</t>
        </is>
      </c>
      <c r="C14" t="inlineStr">
        <is>
          <t>East</t>
        </is>
      </c>
      <c r="D14" s="3" t="n">
        <v>46267</v>
      </c>
      <c r="E14" t="n">
        <v>490.6</v>
      </c>
      <c r="F14" t="n">
        <v>1</v>
      </c>
      <c r="G14" t="b">
        <v>1</v>
      </c>
      <c r="H14">
        <f>E14*F14</f>
        <v/>
      </c>
    </row>
    <row r="15">
      <c r="A15" t="inlineStr">
        <is>
          <t>INV-1056</t>
        </is>
      </c>
      <c r="B15" t="inlineStr">
        <is>
          <t>Blue Fox LLC</t>
        </is>
      </c>
      <c r="C15" t="inlineStr">
        <is>
          <t>South</t>
        </is>
      </c>
      <c r="D15" s="3" t="n">
        <v>46267</v>
      </c>
      <c r="E15" t="n">
        <v>820.01</v>
      </c>
      <c r="F15" t="n">
        <v>2</v>
      </c>
      <c r="G15" t="b">
        <v>0</v>
      </c>
      <c r="H15">
        <f>E15*F15</f>
        <v/>
      </c>
    </row>
    <row r="16">
      <c r="A16" t="inlineStr">
        <is>
          <t>INV-1037</t>
        </is>
      </c>
      <c r="B16" t="inlineStr">
        <is>
          <t>Delta Tools</t>
        </is>
      </c>
      <c r="C16" t="inlineStr">
        <is>
          <t>North</t>
        </is>
      </c>
      <c r="D16" s="3" t="n">
        <v>46268</v>
      </c>
      <c r="E16" t="n">
        <v>752.53</v>
      </c>
      <c r="F16" t="n">
        <v>4</v>
      </c>
      <c r="G16" t="b">
        <v>0</v>
      </c>
      <c r="H16">
        <f>E16*F16</f>
        <v/>
      </c>
    </row>
    <row r="17">
      <c r="A17" t="inlineStr">
        <is>
          <t>INV-1051</t>
        </is>
      </c>
      <c r="B17" t="inlineStr">
        <is>
          <t>Acme Corp</t>
        </is>
      </c>
      <c r="C17" t="inlineStr">
        <is>
          <t>West</t>
        </is>
      </c>
      <c r="D17" s="3" t="n">
        <v>46268</v>
      </c>
      <c r="E17" t="n">
        <v>684.6799999999999</v>
      </c>
      <c r="F17" t="n">
        <v>1</v>
      </c>
      <c r="G17" t="b">
        <v>0</v>
      </c>
      <c r="H17">
        <f>E17*F17</f>
        <v/>
      </c>
    </row>
    <row r="18">
      <c r="A18" t="inlineStr">
        <is>
          <t>INV-1003</t>
        </is>
      </c>
      <c r="B18" t="inlineStr">
        <is>
          <t>Acme Corp</t>
        </is>
      </c>
      <c r="C18" t="inlineStr">
        <is>
          <t>West</t>
        </is>
      </c>
      <c r="D18" s="3" t="n">
        <v>46269</v>
      </c>
      <c r="E18" t="n">
        <v>879.8200000000001</v>
      </c>
      <c r="F18" t="n">
        <v>1</v>
      </c>
      <c r="G18" t="b">
        <v>0</v>
      </c>
      <c r="H18">
        <f>E18*F18</f>
        <v/>
      </c>
    </row>
    <row r="19">
      <c r="A19" t="inlineStr">
        <is>
          <t>INV-1008</t>
        </is>
      </c>
      <c r="B19" t="inlineStr">
        <is>
          <t>Blue Fox LLC</t>
        </is>
      </c>
      <c r="C19" t="inlineStr">
        <is>
          <t>West</t>
        </is>
      </c>
      <c r="D19" s="3" t="n">
        <v>46269</v>
      </c>
      <c r="E19" t="n">
        <v>670.03</v>
      </c>
      <c r="F19" t="n">
        <v>3</v>
      </c>
      <c r="G19" t="b">
        <v>0</v>
      </c>
      <c r="H19">
        <f>E19*F19</f>
        <v/>
      </c>
    </row>
    <row r="20">
      <c r="A20" t="inlineStr">
        <is>
          <t>INV-1014</t>
        </is>
      </c>
      <c r="B20" t="inlineStr">
        <is>
          <t>Acme Corp</t>
        </is>
      </c>
      <c r="C20" t="inlineStr">
        <is>
          <t>South</t>
        </is>
      </c>
      <c r="D20" s="3" t="n">
        <v>46269</v>
      </c>
      <c r="E20" t="n">
        <v>382.31</v>
      </c>
      <c r="F20" t="n">
        <v>4</v>
      </c>
      <c r="G20" t="b">
        <v>0</v>
      </c>
      <c r="H20">
        <f>E20*F20</f>
        <v/>
      </c>
    </row>
    <row r="21">
      <c r="A21" t="inlineStr">
        <is>
          <t>INV-1017</t>
        </is>
      </c>
      <c r="B21" t="inlineStr">
        <is>
          <t>Acme Corp</t>
        </is>
      </c>
      <c r="C21" t="inlineStr">
        <is>
          <t>North</t>
        </is>
      </c>
      <c r="D21" s="3" t="n">
        <v>46269</v>
      </c>
      <c r="E21" t="n">
        <v>247.16</v>
      </c>
      <c r="F21" t="n">
        <v>2</v>
      </c>
      <c r="G21" t="b">
        <v>0</v>
      </c>
      <c r="H21">
        <f>E21*F21</f>
        <v/>
      </c>
    </row>
    <row r="22">
      <c r="A22" t="inlineStr">
        <is>
          <t>INV-1030</t>
        </is>
      </c>
      <c r="B22" t="inlineStr">
        <is>
          <t>Delta Tools</t>
        </is>
      </c>
      <c r="C22" t="inlineStr">
        <is>
          <t>East</t>
        </is>
      </c>
      <c r="D22" s="3" t="n">
        <v>46269</v>
      </c>
      <c r="E22" t="n">
        <v>74.63</v>
      </c>
      <c r="F22" t="n">
        <v>1</v>
      </c>
      <c r="G22" t="b">
        <v>0</v>
      </c>
      <c r="H22">
        <f>E22*F22</f>
        <v/>
      </c>
    </row>
    <row r="23">
      <c r="A23" t="inlineStr">
        <is>
          <t>INV-1035</t>
        </is>
      </c>
      <c r="B23" t="inlineStr">
        <is>
          <t>Acme Corp</t>
        </is>
      </c>
      <c r="C23" t="inlineStr">
        <is>
          <t>West</t>
        </is>
      </c>
      <c r="D23" s="3" t="n">
        <v>46269</v>
      </c>
      <c r="E23" t="n">
        <v>332.64</v>
      </c>
      <c r="F23" t="n">
        <v>4</v>
      </c>
      <c r="G23" t="b">
        <v>0</v>
      </c>
      <c r="H23">
        <f>E23*F23</f>
        <v/>
      </c>
    </row>
    <row r="24">
      <c r="A24" t="inlineStr">
        <is>
          <t>INV-1050</t>
        </is>
      </c>
      <c r="B24" t="inlineStr">
        <is>
          <t>Blue Fox LLC</t>
        </is>
      </c>
      <c r="C24" t="inlineStr">
        <is>
          <t>North</t>
        </is>
      </c>
      <c r="D24" s="3" t="n">
        <v>46269</v>
      </c>
      <c r="E24" t="n">
        <v>848.58</v>
      </c>
      <c r="F24" t="n">
        <v>3</v>
      </c>
      <c r="G24" t="b">
        <v>0</v>
      </c>
      <c r="H24">
        <f>E24*F24</f>
        <v/>
      </c>
    </row>
    <row r="25">
      <c r="A25" t="inlineStr">
        <is>
          <t>INV-1005</t>
        </is>
      </c>
      <c r="B25" t="inlineStr">
        <is>
          <t>Acme Corp</t>
        </is>
      </c>
      <c r="C25" t="inlineStr">
        <is>
          <t>North</t>
        </is>
      </c>
      <c r="D25" s="3" t="n">
        <v>46270</v>
      </c>
      <c r="E25" t="n">
        <v>535.52</v>
      </c>
      <c r="F25" t="n">
        <v>2</v>
      </c>
      <c r="G25" t="b">
        <v>0</v>
      </c>
      <c r="H25">
        <f>E25*F25</f>
        <v/>
      </c>
    </row>
    <row r="26">
      <c r="A26" t="inlineStr">
        <is>
          <t>INV-1024</t>
        </is>
      </c>
      <c r="B26" t="inlineStr">
        <is>
          <t>Nordic Tea</t>
        </is>
      </c>
      <c r="C26" t="inlineStr">
        <is>
          <t>West</t>
        </is>
      </c>
      <c r="D26" s="3" t="n">
        <v>46270</v>
      </c>
      <c r="E26" t="n">
        <v>148.05</v>
      </c>
      <c r="F26" t="n">
        <v>4</v>
      </c>
      <c r="G26" t="b">
        <v>0</v>
      </c>
      <c r="H26">
        <f>E26*F26</f>
        <v/>
      </c>
    </row>
    <row r="27">
      <c r="A27" t="inlineStr">
        <is>
          <t>INV-1026</t>
        </is>
      </c>
      <c r="B27" t="inlineStr">
        <is>
          <t>Acme Corp</t>
        </is>
      </c>
      <c r="C27" t="inlineStr">
        <is>
          <t>North</t>
        </is>
      </c>
      <c r="D27" s="3" t="n">
        <v>46270</v>
      </c>
      <c r="E27" t="n">
        <v>858.34</v>
      </c>
      <c r="F27" t="n">
        <v>1</v>
      </c>
      <c r="G27" t="b">
        <v>1</v>
      </c>
      <c r="H27">
        <f>E27*F27</f>
        <v/>
      </c>
    </row>
    <row r="28">
      <c r="A28" t="inlineStr">
        <is>
          <t>INV-1031</t>
        </is>
      </c>
      <c r="B28" t="inlineStr">
        <is>
          <t>Blue Fox LLC</t>
        </is>
      </c>
      <c r="C28" t="inlineStr">
        <is>
          <t>South</t>
        </is>
      </c>
      <c r="D28" s="3" t="n">
        <v>46270</v>
      </c>
      <c r="E28" t="n">
        <v>564.37</v>
      </c>
      <c r="F28" t="n">
        <v>3</v>
      </c>
      <c r="G28" t="b">
        <v>0</v>
      </c>
      <c r="H28">
        <f>E28*F28</f>
        <v/>
      </c>
    </row>
    <row r="29">
      <c r="A29" t="inlineStr">
        <is>
          <t>INV-1057</t>
        </is>
      </c>
      <c r="B29" t="inlineStr">
        <is>
          <t>Delta Tools</t>
        </is>
      </c>
      <c r="C29" t="inlineStr">
        <is>
          <t>South</t>
        </is>
      </c>
      <c r="D29" s="3" t="n">
        <v>46270</v>
      </c>
      <c r="E29" t="n">
        <v>176.96</v>
      </c>
      <c r="F29" t="n">
        <v>1</v>
      </c>
      <c r="G29" t="b">
        <v>1</v>
      </c>
      <c r="H29">
        <f>E29*F29</f>
        <v/>
      </c>
    </row>
    <row r="30">
      <c r="A30" t="inlineStr">
        <is>
          <t>INV-1000</t>
        </is>
      </c>
      <c r="B30" t="inlineStr">
        <is>
          <t>Delta Tools</t>
        </is>
      </c>
      <c r="C30" t="inlineStr">
        <is>
          <t>North</t>
        </is>
      </c>
      <c r="D30" s="3" t="n">
        <v>46271</v>
      </c>
      <c r="E30" t="n">
        <v>748.08</v>
      </c>
      <c r="F30" t="n">
        <v>1</v>
      </c>
      <c r="G30" t="b">
        <v>0</v>
      </c>
      <c r="H30">
        <f>E30*F30</f>
        <v/>
      </c>
    </row>
    <row r="31">
      <c r="A31" t="inlineStr">
        <is>
          <t>INV-1001</t>
        </is>
      </c>
      <c r="B31" t="inlineStr">
        <is>
          <t>Acme Corp</t>
        </is>
      </c>
      <c r="C31" t="inlineStr">
        <is>
          <t>South</t>
        </is>
      </c>
      <c r="D31" s="3" t="n">
        <v>46271</v>
      </c>
      <c r="E31" t="n">
        <v>123.06</v>
      </c>
      <c r="F31" t="n">
        <v>4</v>
      </c>
      <c r="G31" t="b">
        <v>0</v>
      </c>
      <c r="H31">
        <f>E31*F31</f>
        <v/>
      </c>
    </row>
    <row r="32">
      <c r="A32" t="inlineStr">
        <is>
          <t>INV-1006</t>
        </is>
      </c>
      <c r="B32" t="inlineStr">
        <is>
          <t>Acme Corp</t>
        </is>
      </c>
      <c r="C32" t="inlineStr">
        <is>
          <t>North</t>
        </is>
      </c>
      <c r="D32" s="3" t="n">
        <v>46271</v>
      </c>
      <c r="E32" t="n">
        <v>225.06</v>
      </c>
      <c r="F32" t="n">
        <v>1</v>
      </c>
      <c r="G32" t="b">
        <v>1</v>
      </c>
      <c r="H32">
        <f>E32*F32</f>
        <v/>
      </c>
    </row>
    <row r="33">
      <c r="A33" t="inlineStr">
        <is>
          <t>INV-1022</t>
        </is>
      </c>
      <c r="B33" t="inlineStr">
        <is>
          <t>Acme Corp</t>
        </is>
      </c>
      <c r="C33" t="inlineStr">
        <is>
          <t>North</t>
        </is>
      </c>
      <c r="D33" s="3" t="n">
        <v>46271</v>
      </c>
      <c r="E33" t="n">
        <v>531.77</v>
      </c>
      <c r="F33" t="n">
        <v>1</v>
      </c>
      <c r="G33" t="b">
        <v>1</v>
      </c>
      <c r="H33">
        <f>E33*F33</f>
        <v/>
      </c>
    </row>
    <row r="34">
      <c r="A34" t="inlineStr">
        <is>
          <t>INV-1027</t>
        </is>
      </c>
      <c r="B34" t="inlineStr">
        <is>
          <t>Acme Corp</t>
        </is>
      </c>
      <c r="C34" t="inlineStr">
        <is>
          <t>South</t>
        </is>
      </c>
      <c r="D34" s="3" t="n">
        <v>46271</v>
      </c>
      <c r="E34" t="n">
        <v>783.83</v>
      </c>
      <c r="F34" t="n">
        <v>3</v>
      </c>
      <c r="G34" t="b">
        <v>0</v>
      </c>
      <c r="H34">
        <f>E34*F34</f>
        <v/>
      </c>
    </row>
    <row r="35">
      <c r="A35" t="inlineStr">
        <is>
          <t>INV-1029</t>
        </is>
      </c>
      <c r="B35" t="inlineStr">
        <is>
          <t>Blue Fox LLC</t>
        </is>
      </c>
      <c r="C35" t="inlineStr">
        <is>
          <t>South</t>
        </is>
      </c>
      <c r="D35" s="3" t="n">
        <v>46271</v>
      </c>
      <c r="E35" t="n">
        <v>745.58</v>
      </c>
      <c r="F35" t="n">
        <v>2</v>
      </c>
      <c r="G35" t="b">
        <v>0</v>
      </c>
      <c r="H35">
        <f>E35*F35</f>
        <v/>
      </c>
    </row>
    <row r="36">
      <c r="A36" t="inlineStr">
        <is>
          <t>INV-1038</t>
        </is>
      </c>
      <c r="B36" t="inlineStr">
        <is>
          <t>Acme Corp</t>
        </is>
      </c>
      <c r="C36" t="inlineStr">
        <is>
          <t>North</t>
        </is>
      </c>
      <c r="D36" s="3" t="n">
        <v>46271</v>
      </c>
      <c r="E36" t="n">
        <v>729.45</v>
      </c>
      <c r="F36" t="n">
        <v>1</v>
      </c>
      <c r="G36" t="b">
        <v>0</v>
      </c>
      <c r="H36">
        <f>E36*F36</f>
        <v/>
      </c>
    </row>
    <row r="37">
      <c r="A37" t="inlineStr">
        <is>
          <t>INV-1041</t>
        </is>
      </c>
      <c r="B37" t="inlineStr">
        <is>
          <t>Delta Tools</t>
        </is>
      </c>
      <c r="C37" t="inlineStr">
        <is>
          <t>North</t>
        </is>
      </c>
      <c r="D37" s="3" t="n">
        <v>46271</v>
      </c>
      <c r="E37" t="n">
        <v>823.51</v>
      </c>
      <c r="F37" t="n">
        <v>3</v>
      </c>
      <c r="G37" t="b">
        <v>0</v>
      </c>
      <c r="H37">
        <f>E37*F37</f>
        <v/>
      </c>
    </row>
    <row r="38">
      <c r="A38" t="inlineStr">
        <is>
          <t>INV-1007</t>
        </is>
      </c>
      <c r="B38" t="inlineStr">
        <is>
          <t>Delta Tools</t>
        </is>
      </c>
      <c r="C38" t="inlineStr">
        <is>
          <t>West</t>
        </is>
      </c>
      <c r="D38" s="3" t="n">
        <v>46272</v>
      </c>
      <c r="E38" t="n">
        <v>304.8</v>
      </c>
      <c r="F38" t="n">
        <v>2</v>
      </c>
      <c r="G38" t="b">
        <v>0</v>
      </c>
      <c r="H38">
        <f>E38*F38</f>
        <v/>
      </c>
    </row>
    <row r="39">
      <c r="A39" t="inlineStr">
        <is>
          <t>INV-1010</t>
        </is>
      </c>
      <c r="B39" t="inlineStr">
        <is>
          <t>Acme Corp</t>
        </is>
      </c>
      <c r="C39" t="inlineStr">
        <is>
          <t>East</t>
        </is>
      </c>
      <c r="D39" s="3" t="n">
        <v>46272</v>
      </c>
      <c r="E39" t="n">
        <v>641</v>
      </c>
      <c r="F39" t="n">
        <v>1</v>
      </c>
      <c r="G39" t="b">
        <v>1</v>
      </c>
      <c r="H39">
        <f>E39*F39</f>
        <v/>
      </c>
    </row>
    <row r="40">
      <c r="A40" t="inlineStr">
        <is>
          <t>INV-1016</t>
        </is>
      </c>
      <c r="B40" t="inlineStr">
        <is>
          <t>Blue Fox LLC</t>
        </is>
      </c>
      <c r="C40" t="inlineStr">
        <is>
          <t>West</t>
        </is>
      </c>
      <c r="D40" s="3" t="n">
        <v>46272</v>
      </c>
      <c r="E40" t="n">
        <v>630.3099999999999</v>
      </c>
      <c r="F40" t="n">
        <v>4</v>
      </c>
      <c r="G40" t="b">
        <v>0</v>
      </c>
      <c r="H40">
        <f>E40*F40</f>
        <v/>
      </c>
    </row>
    <row r="41">
      <c r="A41" t="inlineStr">
        <is>
          <t>INV-1021</t>
        </is>
      </c>
      <c r="B41" t="inlineStr">
        <is>
          <t>Blue Fox LLC</t>
        </is>
      </c>
      <c r="C41" t="inlineStr">
        <is>
          <t>North</t>
        </is>
      </c>
      <c r="D41" s="3" t="n">
        <v>46272</v>
      </c>
      <c r="E41" t="n">
        <v>424.53</v>
      </c>
      <c r="F41" t="n">
        <v>1</v>
      </c>
      <c r="G41" t="b">
        <v>0</v>
      </c>
      <c r="H41">
        <f>E41*F41</f>
        <v/>
      </c>
    </row>
    <row r="42">
      <c r="A42" t="inlineStr">
        <is>
          <t>INV-1049</t>
        </is>
      </c>
      <c r="B42" t="inlineStr">
        <is>
          <t>Nordic Tea</t>
        </is>
      </c>
      <c r="C42" t="inlineStr">
        <is>
          <t>North</t>
        </is>
      </c>
      <c r="D42" s="3" t="n">
        <v>46272</v>
      </c>
      <c r="E42" t="n">
        <v>254.54</v>
      </c>
      <c r="F42" t="n">
        <v>1</v>
      </c>
      <c r="G42" t="b">
        <v>0</v>
      </c>
      <c r="H42">
        <f>E42*F42</f>
        <v/>
      </c>
    </row>
    <row r="43">
      <c r="A43" t="inlineStr">
        <is>
          <t>INV-1052</t>
        </is>
      </c>
      <c r="B43" t="inlineStr">
        <is>
          <t>Acme Corp</t>
        </is>
      </c>
      <c r="C43" t="inlineStr">
        <is>
          <t>South</t>
        </is>
      </c>
      <c r="D43" s="3" t="n">
        <v>46272</v>
      </c>
      <c r="E43" t="n">
        <v>650.38</v>
      </c>
      <c r="F43" t="n">
        <v>1</v>
      </c>
      <c r="G43" t="b">
        <v>1</v>
      </c>
      <c r="H43">
        <f>E43*F43</f>
        <v/>
      </c>
    </row>
    <row r="44">
      <c r="A44" t="inlineStr">
        <is>
          <t>INV-1053</t>
        </is>
      </c>
      <c r="B44" t="inlineStr">
        <is>
          <t>Delta Tools</t>
        </is>
      </c>
      <c r="C44" t="inlineStr">
        <is>
          <t>South</t>
        </is>
      </c>
      <c r="D44" s="3" t="n">
        <v>46272</v>
      </c>
      <c r="E44" t="n">
        <v>320.75</v>
      </c>
      <c r="F44" t="n">
        <v>3</v>
      </c>
      <c r="G44" t="b">
        <v>0</v>
      </c>
      <c r="H44">
        <f>E44*F44</f>
        <v/>
      </c>
    </row>
    <row r="45">
      <c r="A45" t="inlineStr">
        <is>
          <t>INV-1059</t>
        </is>
      </c>
      <c r="B45" t="inlineStr">
        <is>
          <t>Blue Fox LLC</t>
        </is>
      </c>
      <c r="C45" t="inlineStr">
        <is>
          <t>North</t>
        </is>
      </c>
      <c r="D45" s="3" t="n">
        <v>46272</v>
      </c>
      <c r="E45" t="n">
        <v>125.28</v>
      </c>
      <c r="F45" t="n">
        <v>3</v>
      </c>
      <c r="G45" t="b">
        <v>0</v>
      </c>
      <c r="H45">
        <f>E45*F45</f>
        <v/>
      </c>
    </row>
    <row r="46">
      <c r="A46" t="inlineStr">
        <is>
          <t>INV-1011</t>
        </is>
      </c>
      <c r="B46" t="inlineStr">
        <is>
          <t>Delta Tools</t>
        </is>
      </c>
      <c r="C46" t="inlineStr">
        <is>
          <t>North</t>
        </is>
      </c>
      <c r="D46" s="3" t="n">
        <v>46273</v>
      </c>
      <c r="E46" t="n">
        <v>852.98</v>
      </c>
      <c r="F46" t="n">
        <v>4</v>
      </c>
      <c r="G46" t="b">
        <v>0</v>
      </c>
      <c r="H46">
        <f>E46*F46</f>
        <v/>
      </c>
    </row>
    <row r="47">
      <c r="A47" t="inlineStr">
        <is>
          <t>INV-1025</t>
        </is>
      </c>
      <c r="B47" t="inlineStr">
        <is>
          <t>Delta Tools</t>
        </is>
      </c>
      <c r="C47" t="inlineStr">
        <is>
          <t>South</t>
        </is>
      </c>
      <c r="D47" s="3" t="n">
        <v>46273</v>
      </c>
      <c r="E47" t="n">
        <v>172.5</v>
      </c>
      <c r="F47" t="n">
        <v>3</v>
      </c>
      <c r="G47" t="b">
        <v>0</v>
      </c>
      <c r="H47">
        <f>E47*F47</f>
        <v/>
      </c>
    </row>
    <row r="48">
      <c r="A48" t="inlineStr">
        <is>
          <t>INV-1032</t>
        </is>
      </c>
      <c r="B48" t="inlineStr">
        <is>
          <t>Nordic Tea</t>
        </is>
      </c>
      <c r="C48" t="inlineStr">
        <is>
          <t>East</t>
        </is>
      </c>
      <c r="D48" s="3" t="n">
        <v>46273</v>
      </c>
      <c r="E48" t="n">
        <v>237.39</v>
      </c>
      <c r="F48" t="n">
        <v>2</v>
      </c>
      <c r="G48" t="b">
        <v>0</v>
      </c>
      <c r="H48">
        <f>E48*F48</f>
        <v/>
      </c>
    </row>
    <row r="49">
      <c r="A49" t="inlineStr">
        <is>
          <t>INV-1033</t>
        </is>
      </c>
      <c r="B49" t="inlineStr">
        <is>
          <t>Nordic Tea</t>
        </is>
      </c>
      <c r="C49" t="inlineStr">
        <is>
          <t>South</t>
        </is>
      </c>
      <c r="D49" s="3" t="n">
        <v>46273</v>
      </c>
      <c r="E49" t="n">
        <v>580.46</v>
      </c>
      <c r="F49" t="n">
        <v>1</v>
      </c>
      <c r="G49" t="b">
        <v>1</v>
      </c>
      <c r="H49">
        <f>E49*F49</f>
        <v/>
      </c>
    </row>
    <row r="50">
      <c r="A50" t="inlineStr">
        <is>
          <t>INV-1036</t>
        </is>
      </c>
      <c r="B50" t="inlineStr">
        <is>
          <t>Acme Corp</t>
        </is>
      </c>
      <c r="C50" t="inlineStr">
        <is>
          <t>North</t>
        </is>
      </c>
      <c r="D50" s="3" t="n">
        <v>46273</v>
      </c>
      <c r="E50" t="n">
        <v>894.15</v>
      </c>
      <c r="F50" t="n">
        <v>1</v>
      </c>
      <c r="G50" t="b">
        <v>0</v>
      </c>
      <c r="H50">
        <f>E50*F50</f>
        <v/>
      </c>
    </row>
    <row r="51">
      <c r="A51" t="inlineStr">
        <is>
          <t>INV-1042</t>
        </is>
      </c>
      <c r="B51" t="inlineStr">
        <is>
          <t>Delta Tools</t>
        </is>
      </c>
      <c r="C51" t="inlineStr">
        <is>
          <t>North</t>
        </is>
      </c>
      <c r="D51" s="3" t="n">
        <v>46273</v>
      </c>
      <c r="E51" t="n">
        <v>179.06</v>
      </c>
      <c r="F51" t="n">
        <v>1</v>
      </c>
      <c r="G51" t="b">
        <v>1</v>
      </c>
      <c r="H51">
        <f>E51*F51</f>
        <v/>
      </c>
    </row>
    <row r="52">
      <c r="A52" t="inlineStr">
        <is>
          <t>INV-1045</t>
        </is>
      </c>
      <c r="B52" t="inlineStr">
        <is>
          <t>Acme Corp</t>
        </is>
      </c>
      <c r="C52" t="inlineStr">
        <is>
          <t>South</t>
        </is>
      </c>
      <c r="D52" s="3" t="n">
        <v>46273</v>
      </c>
      <c r="E52" t="n">
        <v>285.38</v>
      </c>
      <c r="F52" t="n">
        <v>1</v>
      </c>
      <c r="G52" t="b">
        <v>0</v>
      </c>
      <c r="H52">
        <f>E52*F52</f>
        <v/>
      </c>
    </row>
    <row r="53">
      <c r="A53" t="inlineStr">
        <is>
          <t>INV-1058</t>
        </is>
      </c>
      <c r="B53" t="inlineStr">
        <is>
          <t>Nordic Tea</t>
        </is>
      </c>
      <c r="C53" t="inlineStr">
        <is>
          <t>North</t>
        </is>
      </c>
      <c r="D53" s="3" t="n">
        <v>46273</v>
      </c>
      <c r="E53" t="n">
        <v>98.90000000000001</v>
      </c>
      <c r="F53" t="n">
        <v>2</v>
      </c>
      <c r="G53" t="b">
        <v>0</v>
      </c>
      <c r="H53">
        <f>E53*F53</f>
        <v/>
      </c>
    </row>
    <row r="54">
      <c r="A54" t="inlineStr">
        <is>
          <t>INV-1004</t>
        </is>
      </c>
      <c r="B54" t="inlineStr">
        <is>
          <t>Blue Fox LLC</t>
        </is>
      </c>
      <c r="C54" t="inlineStr">
        <is>
          <t>West</t>
        </is>
      </c>
      <c r="D54" s="3" t="n">
        <v>46274</v>
      </c>
      <c r="E54" t="n">
        <v>509.58</v>
      </c>
      <c r="F54" t="n">
        <v>1</v>
      </c>
      <c r="G54" t="b">
        <v>1</v>
      </c>
      <c r="H54">
        <f>E54*F54</f>
        <v/>
      </c>
    </row>
    <row r="55">
      <c r="A55" t="inlineStr">
        <is>
          <t>INV-1019</t>
        </is>
      </c>
      <c r="B55" t="inlineStr">
        <is>
          <t>Nordic Tea</t>
        </is>
      </c>
      <c r="C55" t="inlineStr">
        <is>
          <t>North</t>
        </is>
      </c>
      <c r="D55" s="3" t="n">
        <v>46274</v>
      </c>
      <c r="E55" t="n">
        <v>780.3200000000001</v>
      </c>
      <c r="F55" t="n">
        <v>1</v>
      </c>
      <c r="G55" t="b">
        <v>1</v>
      </c>
      <c r="H55">
        <f>E55*F55</f>
        <v/>
      </c>
    </row>
    <row r="56">
      <c r="A56" t="inlineStr">
        <is>
          <t>INV-1028</t>
        </is>
      </c>
      <c r="B56" t="inlineStr">
        <is>
          <t>Acme Corp</t>
        </is>
      </c>
      <c r="C56" t="inlineStr">
        <is>
          <t>East</t>
        </is>
      </c>
      <c r="D56" s="3" t="n">
        <v>46274</v>
      </c>
      <c r="E56" t="n">
        <v>502.7</v>
      </c>
      <c r="F56" t="n">
        <v>1</v>
      </c>
      <c r="G56" t="b">
        <v>1</v>
      </c>
      <c r="H56">
        <f>E56*F56</f>
        <v/>
      </c>
    </row>
    <row r="57">
      <c r="A57" t="inlineStr">
        <is>
          <t>INV-1039</t>
        </is>
      </c>
      <c r="B57" t="inlineStr">
        <is>
          <t>Acme Corp</t>
        </is>
      </c>
      <c r="C57" t="inlineStr">
        <is>
          <t>West</t>
        </is>
      </c>
      <c r="D57" s="3" t="n">
        <v>46274</v>
      </c>
      <c r="E57" t="n">
        <v>752.23</v>
      </c>
      <c r="F57" t="n">
        <v>2</v>
      </c>
      <c r="G57" t="b">
        <v>0</v>
      </c>
      <c r="H57">
        <f>E57*F57</f>
        <v/>
      </c>
    </row>
    <row r="58">
      <c r="A58" t="inlineStr">
        <is>
          <t>INV-1046</t>
        </is>
      </c>
      <c r="B58" t="inlineStr">
        <is>
          <t>Acme Corp</t>
        </is>
      </c>
      <c r="C58" t="inlineStr">
        <is>
          <t>North</t>
        </is>
      </c>
      <c r="D58" s="3" t="n">
        <v>46274</v>
      </c>
      <c r="E58" t="n">
        <v>326.77</v>
      </c>
      <c r="F58" t="n">
        <v>1</v>
      </c>
      <c r="G58" t="b">
        <v>1</v>
      </c>
      <c r="H58">
        <f>E58*F58</f>
        <v/>
      </c>
    </row>
    <row r="59">
      <c r="A59" t="inlineStr">
        <is>
          <t>INV-1047</t>
        </is>
      </c>
      <c r="B59" t="inlineStr">
        <is>
          <t>Blue Fox LLC</t>
        </is>
      </c>
      <c r="C59" t="inlineStr">
        <is>
          <t>West</t>
        </is>
      </c>
      <c r="D59" s="3" t="n">
        <v>46274</v>
      </c>
      <c r="E59" t="n">
        <v>503.29</v>
      </c>
      <c r="F59" t="n">
        <v>4</v>
      </c>
      <c r="G59" t="b">
        <v>0</v>
      </c>
      <c r="H59">
        <f>E59*F59</f>
        <v/>
      </c>
    </row>
    <row r="60">
      <c r="A60" t="inlineStr">
        <is>
          <t>INV-1048</t>
        </is>
      </c>
      <c r="B60" t="inlineStr">
        <is>
          <t>Blue Fox LLC</t>
        </is>
      </c>
      <c r="C60" t="inlineStr">
        <is>
          <t>South</t>
        </is>
      </c>
      <c r="D60" s="3" t="n">
        <v>46274</v>
      </c>
      <c r="E60" t="n">
        <v>166.56</v>
      </c>
      <c r="F60" t="n">
        <v>1</v>
      </c>
      <c r="G60" t="b">
        <v>0</v>
      </c>
      <c r="H60">
        <f>E60*F60</f>
        <v/>
      </c>
    </row>
    <row r="61">
      <c r="A61" t="inlineStr">
        <is>
          <t>INV-1055</t>
        </is>
      </c>
      <c r="B61" t="inlineStr">
        <is>
          <t>Blue Fox LLC</t>
        </is>
      </c>
      <c r="C61" t="inlineStr">
        <is>
          <t>North</t>
        </is>
      </c>
      <c r="D61" s="3" t="n">
        <v>46274</v>
      </c>
      <c r="E61" t="n">
        <v>887.3200000000001</v>
      </c>
      <c r="F61" t="n">
        <v>2</v>
      </c>
      <c r="G61" t="b">
        <v>0</v>
      </c>
      <c r="H61">
        <f>E61*F61</f>
        <v/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East</t>
        </is>
      </c>
      <c r="C1" t="inlineStr">
        <is>
          <t>North</t>
        </is>
      </c>
      <c r="D1" t="inlineStr">
        <is>
          <t>South</t>
        </is>
      </c>
      <c r="E1" t="inlineStr">
        <is>
          <t>West</t>
        </is>
      </c>
    </row>
    <row r="2">
      <c r="A2" t="inlineStr">
        <is>
          <t>Acme Corp</t>
        </is>
      </c>
      <c r="B2" t="n">
        <v>1634.3</v>
      </c>
      <c r="C2" t="n">
        <v>5116.67</v>
      </c>
      <c r="D2" t="n">
        <v>2278.44</v>
      </c>
      <c r="E2" t="n">
        <v>3402.19</v>
      </c>
    </row>
    <row r="3">
      <c r="A3" t="inlineStr">
        <is>
          <t>Blue Fox LLC</t>
        </is>
      </c>
      <c r="B3" t="n">
        <v>0</v>
      </c>
      <c r="C3" t="n">
        <v>2285.71</v>
      </c>
      <c r="D3" t="n">
        <v>2550.98</v>
      </c>
      <c r="E3" t="n">
        <v>2972.34</v>
      </c>
    </row>
    <row r="4">
      <c r="A4" t="inlineStr">
        <is>
          <t>Delta Tools</t>
        </is>
      </c>
      <c r="B4" t="n">
        <v>74.63</v>
      </c>
      <c r="C4" t="n">
        <v>3535.35</v>
      </c>
      <c r="D4" t="n">
        <v>670.21</v>
      </c>
      <c r="E4" t="n">
        <v>1041.33</v>
      </c>
    </row>
    <row r="5">
      <c r="A5" t="inlineStr">
        <is>
          <t>Nordic Tea</t>
        </is>
      </c>
      <c r="B5" t="n">
        <v>237.39</v>
      </c>
      <c r="C5" t="n">
        <v>1435.21</v>
      </c>
      <c r="D5" t="n">
        <v>580.46</v>
      </c>
      <c r="E5" t="n">
        <v>148.05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in</t>
        </is>
      </c>
      <c r="B2" t="n">
        <v>65</v>
      </c>
    </row>
    <row r="3">
      <c r="A3" t="inlineStr">
        <is>
          <t>duplicates removed</t>
        </is>
      </c>
      <c r="B3" t="n">
        <v>5</v>
      </c>
    </row>
    <row r="4">
      <c r="A4" t="inlineStr">
        <is>
          <t>rows out</t>
        </is>
      </c>
      <c r="B4" t="n">
        <v>60</v>
      </c>
    </row>
    <row r="5">
      <c r="A5" t="inlineStr">
        <is>
          <t>qty missing (set to 1)</t>
        </is>
      </c>
      <c r="B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2026-10-15T18:16:41Z</dcterms:created>
  <dcterms:modified xmlns:dcterms="http://purl.org/dc/terms/" xmlns:xsi="http://www.w3.org/2001/XMLSchema-instance" xsi:type="dcterms:W3CDTF">2026-10-15T18:16:41Z</dcterms:modified>
</cp:coreProperties>
</file>